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02CE11FC-AE66-46B3-950A-92F8A21F4BC2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결함집계" sheetId="5" r:id="rId3"/>
    <sheet name="전체집계" sheetId="4" r:id="rId4"/>
    <sheet name="Sheet2" sheetId="6" r:id="rId5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4" l="1"/>
  <c r="I8" i="4"/>
  <c r="H8" i="4"/>
  <c r="G8" i="4"/>
  <c r="F8" i="4"/>
  <c r="E8" i="4"/>
  <c r="D8" i="4"/>
  <c r="C8" i="4"/>
  <c r="J6" i="5"/>
  <c r="I6" i="5"/>
  <c r="H6" i="5"/>
  <c r="G6" i="5"/>
  <c r="F6" i="5"/>
  <c r="E6" i="5"/>
  <c r="D6" i="5"/>
  <c r="C6" i="5"/>
</calcChain>
</file>

<file path=xl/sharedStrings.xml><?xml version="1.0" encoding="utf-8"?>
<sst xmlns="http://schemas.openxmlformats.org/spreadsheetml/2006/main" count="188" uniqueCount="144">
  <si>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</si>
  <si>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</si>
  <si>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</si>
  <si>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</si>
  <si>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</si>
  <si>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</si>
  <si>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</si>
  <si>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</si>
  <si>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</si>
  <si>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</si>
  <si>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</si>
  <si>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</si>
  <si>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</si>
  <si>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</si>
  <si>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</si>
  <si>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</si>
  <si>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</si>
  <si>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</si>
  <si>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</si>
  <si>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</si>
  <si>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</si>
  <si>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</si>
  <si>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</si>
  <si>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</si>
  <si>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</si>
  <si>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</si>
  <si>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</si>
  <si>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</si>
  <si>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요구사항
(A)</t>
    <phoneticPr fontId="3" type="noConversion"/>
  </si>
  <si>
    <t>요구사항이 구현되어 있지 않은 경우</t>
    <phoneticPr fontId="3" type="noConversion"/>
  </si>
  <si>
    <t>요구사항대로 구현되었으나 비정상적으로 작동하는 경우</t>
    <phoneticPr fontId="3" type="noConversion"/>
  </si>
  <si>
    <t>요구사항대로 구현되었으나 업무 프로세스가 비정상인 경우</t>
    <phoneticPr fontId="3" type="noConversion"/>
  </si>
  <si>
    <t>프로세스
(B)</t>
    <phoneticPr fontId="3" type="noConversion"/>
  </si>
  <si>
    <t>비정상적인 프로세스로 처리가 가능한 경우(프로세스의 예외사항 또는 조건을 처리하지 못하는 경우)</t>
    <phoneticPr fontId="3" type="noConversion"/>
  </si>
  <si>
    <t>프로세스가 비 정상적인 상태로 진행되는 경우(결재 처리 후 수정 가능)</t>
    <phoneticPr fontId="3" type="noConversion"/>
  </si>
  <si>
    <t>필요한 업무 프로세스가 존재하지 않는 경우</t>
    <phoneticPr fontId="3" type="noConversion"/>
  </si>
  <si>
    <t>프로세스가 잘못 정의된 경우</t>
    <phoneticPr fontId="3" type="noConversion"/>
  </si>
  <si>
    <t>입력 데이터에 대한 결과가 비정상인 경우</t>
    <phoneticPr fontId="3" type="noConversion"/>
  </si>
  <si>
    <t>다음 단계로의 진행이 불가한 경우</t>
    <phoneticPr fontId="3" type="noConversion"/>
  </si>
  <si>
    <t>연계
(C)</t>
    <phoneticPr fontId="3" type="noConversion"/>
  </si>
  <si>
    <t>업무간 내부 연계가 정상적으로 작동하지 않는경우</t>
    <phoneticPr fontId="3" type="noConversion"/>
  </si>
  <si>
    <t>업무간 내부 연계시 데이터 오류(나오지 않거나, 잘못나오는)가 발생하는 경우</t>
    <phoneticPr fontId="3" type="noConversion"/>
  </si>
  <si>
    <t>시스템간 외부 연계(은행, 관련기관)시 데이터 오류(나오지 않거나, 잘못나오는)가 발생하는 경우</t>
    <phoneticPr fontId="3" type="noConversion"/>
  </si>
  <si>
    <t xml:space="preserve">시스템에 연계되어 있는 장비(ATM, FOS 단말, 카드/바코드 리더기 등)와의 작동이 비정상적인 경우 </t>
    <phoneticPr fontId="3" type="noConversion"/>
  </si>
  <si>
    <t>데이터
(D)</t>
    <phoneticPr fontId="3" type="noConversion"/>
  </si>
  <si>
    <t>입력 및 출력 데이터가 업무적으로 비정상적인 경우</t>
    <phoneticPr fontId="3" type="noConversion"/>
  </si>
  <si>
    <t>비정상적인 데이터로 인하여 오류가 발생하는 경우</t>
    <phoneticPr fontId="3" type="noConversion"/>
  </si>
  <si>
    <t>시스템간 외부 연계(대외기관)가 정상적으로 작동하지 않는경우</t>
    <phoneticPr fontId="3" type="noConversion"/>
  </si>
  <si>
    <t>비정상적인 데이터로 인해 업무처리가 불가능한 경우</t>
    <phoneticPr fontId="3" type="noConversion"/>
  </si>
  <si>
    <t>결함종류</t>
    <phoneticPr fontId="1" type="noConversion"/>
  </si>
  <si>
    <t>결함ID</t>
    <phoneticPr fontId="1" type="noConversion"/>
  </si>
  <si>
    <t>서브시스템</t>
  </si>
  <si>
    <t>치명결함</t>
  </si>
  <si>
    <t>중결함</t>
  </si>
  <si>
    <t>경결함</t>
  </si>
  <si>
    <t>단순결함</t>
  </si>
  <si>
    <t>총결함</t>
  </si>
  <si>
    <t>조치완료</t>
  </si>
  <si>
    <t>미조치</t>
  </si>
  <si>
    <t>권고사항</t>
  </si>
  <si>
    <t>대상시나리오수</t>
  </si>
  <si>
    <t>대상절차수</t>
  </si>
  <si>
    <t>대상제외절차수</t>
  </si>
  <si>
    <t>수행절차수</t>
  </si>
  <si>
    <t>커버리지(%)</t>
  </si>
  <si>
    <t>통합테스트성공률</t>
  </si>
  <si>
    <t>성공절차수</t>
  </si>
  <si>
    <t>실패절차수</t>
  </si>
  <si>
    <t>SubSystem_20</t>
  </si>
  <si>
    <t>SubSystem_21</t>
  </si>
  <si>
    <t>SubSystem_22</t>
  </si>
  <si>
    <t>SubSystem_23</t>
  </si>
  <si>
    <t>SubSystem_24</t>
  </si>
  <si>
    <t>SID_20</t>
  </si>
  <si>
    <t>SID_21</t>
  </si>
  <si>
    <t>SID_22</t>
  </si>
  <si>
    <t>SID_23</t>
  </si>
  <si>
    <t>SID_24</t>
  </si>
  <si>
    <t>SName_20</t>
  </si>
  <si>
    <t>SName_21</t>
  </si>
  <si>
    <t>SName_22</t>
  </si>
  <si>
    <t>SName_23</t>
  </si>
  <si>
    <t>SName_24</t>
  </si>
  <si>
    <t>PName_20</t>
  </si>
  <si>
    <t>PName_21</t>
  </si>
  <si>
    <t>PName_22</t>
  </si>
  <si>
    <t>PName_23</t>
  </si>
  <si>
    <t>PName_24</t>
  </si>
  <si>
    <t>절차내용_20</t>
  </si>
  <si>
    <t>절차내용_21</t>
  </si>
  <si>
    <t>절차내용_22</t>
  </si>
  <si>
    <t>절차내용_23</t>
  </si>
  <si>
    <t>절차내용_24</t>
  </si>
  <si>
    <t>테스트데이터_20</t>
  </si>
  <si>
    <t>테스트데이터_21</t>
  </si>
  <si>
    <t>테스트데이터_22</t>
  </si>
  <si>
    <t>테스트데이터_23</t>
  </si>
  <si>
    <t>테스트데이터_24</t>
  </si>
  <si>
    <t>기대결과_20</t>
  </si>
  <si>
    <t>기대결과_21</t>
  </si>
  <si>
    <t>기대결과_22</t>
  </si>
  <si>
    <t>기대결과_23</t>
  </si>
  <si>
    <t>기대결과_24</t>
  </si>
  <si>
    <t>테스터20</t>
  </si>
  <si>
    <t>테스터21</t>
  </si>
  <si>
    <t>테스터22</t>
  </si>
  <si>
    <t>테스터23</t>
  </si>
  <si>
    <t>테스터24</t>
  </si>
  <si>
    <t>개발자명20</t>
  </si>
  <si>
    <t>개발자명21</t>
  </si>
  <si>
    <t>개발자명22</t>
  </si>
  <si>
    <t>개발자명23</t>
  </si>
  <si>
    <t>개발자명24</t>
  </si>
  <si>
    <t>PL명20</t>
  </si>
  <si>
    <t>PL명21</t>
  </si>
  <si>
    <t>PL명22</t>
  </si>
  <si>
    <t>PL명23</t>
  </si>
  <si>
    <t>PL명24</t>
  </si>
  <si>
    <t>비고20</t>
  </si>
  <si>
    <t>비고21</t>
  </si>
  <si>
    <t>비고22</t>
  </si>
  <si>
    <t>비고23</t>
  </si>
  <si>
    <t>비고24</t>
  </si>
  <si>
    <t>Y</t>
  </si>
  <si>
    <t>PASS</t>
  </si>
  <si>
    <t>FAIL</t>
  </si>
  <si>
    <t>SID_21_001</t>
  </si>
  <si>
    <t>UI.U</t>
  </si>
  <si>
    <t>테스트 결함제목</t>
  </si>
  <si>
    <t>테스트 상세내용</t>
  </si>
  <si>
    <t>테스트 기대결과</t>
  </si>
  <si>
    <t>SID_22_001</t>
  </si>
  <si>
    <t>UI.R</t>
  </si>
  <si>
    <t>테스트 결함제목１</t>
  </si>
  <si>
    <t>테스트 상세내용１</t>
  </si>
  <si>
    <t>테스트 기대결과１</t>
  </si>
  <si>
    <t>N/A(대상제외)</t>
  </si>
  <si>
    <t>대상제외 사유 입력</t>
  </si>
  <si>
    <t>SID_24_001</t>
  </si>
  <si>
    <t>기타</t>
  </si>
  <si>
    <t>테스트 결함제목２</t>
  </si>
  <si>
    <t>테스트 상세내용２</t>
  </si>
  <si>
    <t>테스트 기대결과２</t>
  </si>
  <si>
    <t>전체시스템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</si>
</sst>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3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0" fontId="5" fillId="0" borderId="0" xfId="0" applyFont="1" applyBorder="1">
      <alignment vertical="center"/>
    </xf>
    <xf numFmtId="0" fontId="0" fillId="4" borderId="5" xfId="0" applyFill="1" applyBorder="1">
      <alignment vertical="center"/>
    </xf>
    <xf numFmtId="0" fontId="0" fillId="0" borderId="0" xfId="0" applyAlignment="1">
      <alignment horizontal="center" vertical="center"/>
    </xf>
    <xf numFmtId="0" fontId="6" fillId="0" borderId="1" xfId="0" applyFont="1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Fill="1" applyBorder="1">
      <alignment vertical="center"/>
    </xf>
    <xf numFmtId="0" fontId="7" fillId="0" borderId="1" xfId="0" applyFont="1" applyFill="1" applyBorder="1">
      <alignment vertical="center"/>
    </xf>
    <xf numFmtId="9" fontId="0" fillId="0" borderId="1" xfId="0" applyNumberFormat="1" applyFill="1" applyBorder="1">
      <alignment vertical="center"/>
    </xf>
    <xf numFmtId="0" fontId="0" fillId="0" borderId="6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937260</xdr:colOff>
          <xdr:row>0</xdr:row>
          <xdr:rowOff>60960</xdr:rowOff>
        </xdr:from>
        <xdr:to>
          <xdr:col>4</xdr:col>
          <xdr:colOff>861060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7620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7</xdr:col>
          <xdr:colOff>15240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5" zoomScaleNormal="85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0.19921875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12" customWidth="1"/>
    <col min="13" max="13" width="9.59765625" customWidth="1"/>
    <col min="14" max="14" width="9.19921875" customWidth="1"/>
    <col min="15" max="15" width="23.796875" style="14" customWidth="1"/>
    <col min="16" max="16" width="14.09765625" customWidth="1"/>
  </cols>
  <sheetData>
    <row r="1" spans="1:16" ht="39" customHeight="1" x14ac:dyDescent="0.4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6</v>
      </c>
      <c r="I2" s="9" t="s">
        <v>3</v>
      </c>
      <c r="J2" s="10" t="s">
        <v>27</v>
      </c>
      <c r="K2" s="10" t="s">
        <v>16</v>
      </c>
      <c r="L2" s="10" t="s">
        <v>10</v>
      </c>
      <c r="M2" s="2" t="s">
        <v>1</v>
      </c>
      <c r="N2" s="2" t="s">
        <v>2</v>
      </c>
      <c r="O2" s="10" t="s">
        <v>24</v>
      </c>
      <c r="P2" s="2" t="s">
        <v>23</v>
      </c>
    </row>
    <row r="3" spans="1:16" x14ac:dyDescent="0.4">
      <c r="A3" s="1" t="s">
        <v>68</v>
      </c>
      <c r="B3" s="20" t="s">
        <v>73</v>
      </c>
      <c r="C3" s="1" t="s">
        <v>78</v>
      </c>
      <c r="D3" s="1">
        <v>1</v>
      </c>
      <c r="E3" s="20" t="s">
        <v>83</v>
      </c>
      <c r="F3" s="1" t="s">
        <v>88</v>
      </c>
      <c r="G3" s="1" t="s">
        <v>93</v>
      </c>
      <c r="H3" s="1" t="s">
        <v>98</v>
      </c>
      <c r="I3" s="1" t="s">
        <v>103</v>
      </c>
      <c r="J3" s="1" t="s">
        <v>123</v>
      </c>
      <c r="K3" s="13" t="s">
        <v>124</v>
      </c>
      <c r="L3" s="11">
        <v>45700</v>
      </c>
      <c r="M3" s="1" t="s">
        <v>108</v>
      </c>
      <c r="N3" s="1" t="s">
        <v>113</v>
      </c>
      <c r="O3" s="6"/>
      <c r="P3" s="6" t="s">
        <v>118</v>
      </c>
    </row>
    <row r="4" spans="1:16" x14ac:dyDescent="0.4">
      <c r="A4" s="1" t="s">
        <v>69</v>
      </c>
      <c r="B4" s="20" t="s">
        <v>74</v>
      </c>
      <c r="C4" s="1" t="s">
        <v>79</v>
      </c>
      <c r="D4" s="1">
        <v>1</v>
      </c>
      <c r="E4" s="20" t="s">
        <v>84</v>
      </c>
      <c r="F4" s="1" t="s">
        <v>89</v>
      </c>
      <c r="G4" s="1" t="s">
        <v>94</v>
      </c>
      <c r="H4" s="1" t="s">
        <v>99</v>
      </c>
      <c r="I4" s="1" t="s">
        <v>104</v>
      </c>
      <c r="J4" s="1" t="s">
        <v>123</v>
      </c>
      <c r="K4" s="13" t="s">
        <v>125</v>
      </c>
      <c r="L4" s="11">
        <v>45700</v>
      </c>
      <c r="M4" s="1" t="s">
        <v>109</v>
      </c>
      <c r="N4" s="1" t="s">
        <v>114</v>
      </c>
      <c r="O4" s="6"/>
      <c r="P4" s="6" t="s">
        <v>119</v>
      </c>
    </row>
    <row r="5" spans="1:16" x14ac:dyDescent="0.4">
      <c r="A5" s="1" t="s">
        <v>70</v>
      </c>
      <c r="B5" s="20" t="s">
        <v>75</v>
      </c>
      <c r="C5" s="1" t="s">
        <v>80</v>
      </c>
      <c r="D5" s="1">
        <v>1</v>
      </c>
      <c r="E5" s="20" t="s">
        <v>85</v>
      </c>
      <c r="F5" s="1" t="s">
        <v>90</v>
      </c>
      <c r="G5" s="1" t="s">
        <v>95</v>
      </c>
      <c r="H5" s="1" t="s">
        <v>100</v>
      </c>
      <c r="I5" s="1" t="s">
        <v>105</v>
      </c>
      <c r="J5" s="1" t="s">
        <v>123</v>
      </c>
      <c r="K5" s="13" t="s">
        <v>125</v>
      </c>
      <c r="L5" s="11">
        <v>45700</v>
      </c>
      <c r="M5" s="1" t="s">
        <v>110</v>
      </c>
      <c r="N5" s="1" t="s">
        <v>115</v>
      </c>
      <c r="O5" s="6"/>
      <c r="P5" s="6" t="s">
        <v>120</v>
      </c>
    </row>
    <row r="6" spans="1:16" x14ac:dyDescent="0.4">
      <c r="A6" s="1" t="s">
        <v>71</v>
      </c>
      <c r="B6" s="20" t="s">
        <v>76</v>
      </c>
      <c r="C6" s="1" t="s">
        <v>81</v>
      </c>
      <c r="D6" s="1">
        <v>1</v>
      </c>
      <c r="E6" s="20" t="s">
        <v>86</v>
      </c>
      <c r="F6" s="1" t="s">
        <v>91</v>
      </c>
      <c r="G6" s="1" t="s">
        <v>96</v>
      </c>
      <c r="H6" s="1" t="s">
        <v>101</v>
      </c>
      <c r="I6" s="1" t="s">
        <v>106</v>
      </c>
      <c r="J6" s="1"/>
      <c r="K6" s="13" t="s">
        <v>136</v>
      </c>
      <c r="L6" s="11"/>
      <c r="M6" s="1" t="s">
        <v>111</v>
      </c>
      <c r="N6" s="1" t="s">
        <v>116</v>
      </c>
      <c r="O6" s="6" t="s">
        <v>137</v>
      </c>
      <c r="P6" s="6" t="s">
        <v>121</v>
      </c>
    </row>
    <row r="7" spans="1:16" x14ac:dyDescent="0.4">
      <c r="A7" s="1" t="s">
        <v>72</v>
      </c>
      <c r="B7" s="20" t="s">
        <v>77</v>
      </c>
      <c r="C7" s="1" t="s">
        <v>82</v>
      </c>
      <c r="D7" s="1">
        <v>1</v>
      </c>
      <c r="E7" s="20" t="s">
        <v>87</v>
      </c>
      <c r="F7" s="1" t="s">
        <v>92</v>
      </c>
      <c r="G7" s="1" t="s">
        <v>97</v>
      </c>
      <c r="H7" s="1" t="s">
        <v>102</v>
      </c>
      <c r="I7" s="1" t="s">
        <v>107</v>
      </c>
      <c r="J7" s="1" t="s">
        <v>123</v>
      </c>
      <c r="K7" s="13" t="s">
        <v>125</v>
      </c>
      <c r="L7" s="11">
        <v>45700</v>
      </c>
      <c r="M7" s="1" t="s">
        <v>112</v>
      </c>
      <c r="N7" s="1" t="s">
        <v>117</v>
      </c>
      <c r="O7" s="6"/>
      <c r="P7" s="6" t="s">
        <v>122</v>
      </c>
    </row>
    <row r="8" spans="1:16" x14ac:dyDescent="0.4">
      <c r="L8"/>
      <c r="O8"/>
    </row>
    <row r="9" spans="1:16" x14ac:dyDescent="0.4">
      <c r="L9"/>
      <c r="O9"/>
    </row>
    <row r="10" spans="1:16" x14ac:dyDescent="0.4">
      <c r="L10"/>
      <c r="O10"/>
    </row>
    <row r="11" spans="1:16" x14ac:dyDescent="0.4">
      <c r="L11"/>
      <c r="O11"/>
    </row>
    <row r="12" spans="1:16" x14ac:dyDescent="0.4">
      <c r="L12"/>
      <c r="O12"/>
    </row>
    <row r="13" spans="1:16" x14ac:dyDescent="0.4">
      <c r="L13"/>
      <c r="O13"/>
    </row>
    <row r="14" spans="1:16" x14ac:dyDescent="0.4">
      <c r="L14"/>
      <c r="O14"/>
    </row>
    <row r="15" spans="1:16" x14ac:dyDescent="0.4">
      <c r="L15"/>
      <c r="O15"/>
    </row>
    <row r="16" spans="1:16" x14ac:dyDescent="0.4">
      <c r="L16"/>
      <c r="O16"/>
    </row>
    <row r="17" spans="12:15" x14ac:dyDescent="0.4">
      <c r="L17"/>
      <c r="O17"/>
    </row>
    <row r="18" spans="12:15" x14ac:dyDescent="0.4">
      <c r="L18"/>
      <c r="O18"/>
    </row>
    <row r="19" spans="12:15" x14ac:dyDescent="0.4">
      <c r="L19"/>
      <c r="O19"/>
    </row>
    <row r="20" spans="12:15" x14ac:dyDescent="0.4">
      <c r="L20"/>
      <c r="O20"/>
    </row>
    <row r="21" spans="12:15" x14ac:dyDescent="0.4">
      <c r="L21"/>
      <c r="O21"/>
    </row>
    <row r="22" spans="12:15" x14ac:dyDescent="0.4">
      <c r="L22"/>
      <c r="O22"/>
    </row>
    <row r="23" spans="12:15" x14ac:dyDescent="0.4">
      <c r="L23"/>
      <c r="O23"/>
    </row>
    <row r="24" spans="12:15" x14ac:dyDescent="0.4">
      <c r="L24"/>
      <c r="O24"/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defaultSize="0" autoLine="0" r:id="rId5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defaultSize="0" autoLine="0" r:id="rId7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7</xdr:col>
                <xdr:colOff>15240</xdr:colOff>
                <xdr:row>0</xdr:row>
                <xdr:rowOff>403860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3</xdr:col>
                <xdr:colOff>937260</xdr:colOff>
                <xdr:row>0</xdr:row>
                <xdr:rowOff>60960</xdr:rowOff>
              </from>
              <to>
                <xdr:col>4</xdr:col>
                <xdr:colOff>861060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autoLine="0" r:id="rId11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4" r:id="rId12" name="CommandButton3">
          <controlPr defaultSize="0" autoLine="0" r:id="rId13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4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S5"/>
  <sheetViews>
    <sheetView zoomScale="85" zoomScaleNormal="85" workbookViewId="0"/>
  </sheetViews>
  <sheetFormatPr defaultRowHeight="17.399999999999999" x14ac:dyDescent="0.4"/>
  <cols>
    <col min="1" max="1" width="13.296875" customWidth="1"/>
    <col min="2" max="2" width="16.5" bestFit="1" customWidth="1"/>
    <col min="3" max="3" width="16.59765625" bestFit="1" customWidth="1"/>
    <col min="4" max="4" width="9.19921875" customWidth="1"/>
    <col min="5" max="5" width="7.296875" bestFit="1" customWidth="1"/>
    <col min="6" max="6" width="13.19921875" bestFit="1" customWidth="1"/>
    <col min="7" max="7" width="15.796875" customWidth="1"/>
    <col min="8" max="8" width="22.296875" customWidth="1"/>
    <col min="9" max="9" width="11" bestFit="1" customWidth="1"/>
    <col min="10" max="14" width="9.19921875" bestFit="1" customWidth="1"/>
    <col min="15" max="15" width="20.8984375" bestFit="1" customWidth="1"/>
    <col min="16" max="16" width="11" bestFit="1" customWidth="1"/>
    <col min="17" max="17" width="9.19921875" bestFit="1" customWidth="1"/>
    <col min="18" max="18" width="13.19921875" bestFit="1" customWidth="1"/>
    <col min="19" max="19" width="15.19921875" style="5" bestFit="1" customWidth="1"/>
  </cols>
  <sheetData>
    <row r="1" spans="1:19" x14ac:dyDescent="0.4">
      <c r="S1"/>
    </row>
    <row r="2" spans="1:19" ht="33.6" customHeight="1" x14ac:dyDescent="0.4">
      <c r="A2" s="2" t="s">
        <v>0</v>
      </c>
      <c r="B2" s="2" t="s">
        <v>17</v>
      </c>
      <c r="C2" s="2" t="s">
        <v>18</v>
      </c>
      <c r="D2" s="2" t="s">
        <v>19</v>
      </c>
      <c r="E2" s="2" t="s">
        <v>20</v>
      </c>
      <c r="F2" s="2" t="s">
        <v>9</v>
      </c>
      <c r="G2" s="3" t="s">
        <v>50</v>
      </c>
      <c r="H2" s="2" t="s">
        <v>49</v>
      </c>
      <c r="I2" s="2" t="s">
        <v>11</v>
      </c>
      <c r="J2" s="2" t="s">
        <v>4</v>
      </c>
      <c r="K2" s="2" t="s">
        <v>5</v>
      </c>
      <c r="L2" s="2" t="s">
        <v>6</v>
      </c>
      <c r="M2" s="2" t="s">
        <v>3</v>
      </c>
      <c r="N2" s="2" t="s">
        <v>1</v>
      </c>
      <c r="O2" s="2" t="s">
        <v>2</v>
      </c>
      <c r="P2" s="2" t="s">
        <v>7</v>
      </c>
      <c r="Q2" s="2" t="s">
        <v>8</v>
      </c>
      <c r="R2" s="2" t="s">
        <v>25</v>
      </c>
      <c r="S2" s="4" t="s">
        <v>26</v>
      </c>
    </row>
    <row r="3" spans="1:19" x14ac:dyDescent="0.4">
      <c r="A3" s="21" t="s">
        <v>69</v>
      </c>
      <c r="B3" s="21" t="s">
        <v>74</v>
      </c>
      <c r="C3" s="21" t="s">
        <v>79</v>
      </c>
      <c r="D3" s="21">
        <v>1</v>
      </c>
      <c r="E3" s="21" t="s">
        <v>84</v>
      </c>
      <c r="F3" s="22">
        <v>45700</v>
      </c>
      <c r="G3" s="21" t="s">
        <v>126</v>
      </c>
      <c r="H3" s="21" t="s">
        <v>127</v>
      </c>
      <c r="I3" s="21" t="s">
        <v>52</v>
      </c>
      <c r="J3" s="21" t="s">
        <v>128</v>
      </c>
      <c r="K3" s="21" t="s">
        <v>129</v>
      </c>
      <c r="L3" s="21" t="s">
        <v>130</v>
      </c>
      <c r="M3" s="21" t="s">
        <v>104</v>
      </c>
      <c r="N3" s="21" t="s">
        <v>109</v>
      </c>
      <c r="O3" s="21" t="s">
        <v>114</v>
      </c>
      <c r="P3" s="21"/>
      <c r="Q3" s="21"/>
      <c r="R3" s="21"/>
      <c r="S3" s="21"/>
    </row>
    <row r="4" spans="1:19" x14ac:dyDescent="0.4">
      <c r="A4" s="21" t="s">
        <v>70</v>
      </c>
      <c r="B4" s="21" t="s">
        <v>75</v>
      </c>
      <c r="C4" s="21" t="s">
        <v>80</v>
      </c>
      <c r="D4" s="21">
        <v>1</v>
      </c>
      <c r="E4" s="21" t="s">
        <v>85</v>
      </c>
      <c r="F4" s="22">
        <v>45700</v>
      </c>
      <c r="G4" s="21" t="s">
        <v>131</v>
      </c>
      <c r="H4" s="21" t="s">
        <v>132</v>
      </c>
      <c r="I4" s="21" t="s">
        <v>59</v>
      </c>
      <c r="J4" s="21" t="s">
        <v>133</v>
      </c>
      <c r="K4" s="21" t="s">
        <v>134</v>
      </c>
      <c r="L4" s="21" t="s">
        <v>135</v>
      </c>
      <c r="M4" s="21" t="s">
        <v>105</v>
      </c>
      <c r="N4" s="21" t="s">
        <v>110</v>
      </c>
      <c r="O4" s="21" t="s">
        <v>115</v>
      </c>
      <c r="P4" s="21"/>
      <c r="Q4" s="21"/>
      <c r="R4" s="21"/>
      <c r="S4" s="21"/>
    </row>
    <row r="5" spans="1:19" x14ac:dyDescent="0.4">
      <c r="A5" s="21" t="s">
        <v>72</v>
      </c>
      <c r="B5" s="21" t="s">
        <v>77</v>
      </c>
      <c r="C5" s="21" t="s">
        <v>82</v>
      </c>
      <c r="D5" s="21">
        <v>1</v>
      </c>
      <c r="E5" s="21" t="s">
        <v>87</v>
      </c>
      <c r="F5" s="22">
        <v>45700</v>
      </c>
      <c r="G5" s="21" t="s">
        <v>138</v>
      </c>
      <c r="H5" s="21" t="s">
        <v>139</v>
      </c>
      <c r="I5" s="21" t="s">
        <v>55</v>
      </c>
      <c r="J5" s="21" t="s">
        <v>140</v>
      </c>
      <c r="K5" s="21" t="s">
        <v>141</v>
      </c>
      <c r="L5" s="21" t="s">
        <v>142</v>
      </c>
      <c r="M5" s="21" t="s">
        <v>107</v>
      </c>
      <c r="N5" s="21" t="s">
        <v>112</v>
      </c>
      <c r="O5" s="21" t="s">
        <v>117</v>
      </c>
      <c r="P5" s="21"/>
      <c r="Q5" s="21"/>
      <c r="R5" s="21"/>
      <c r="S5" s="21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6"/>
  <sheetViews>
    <sheetView workbookViewId="0"/>
  </sheetViews>
  <sheetFormatPr defaultRowHeight="17.399999999999999" x14ac:dyDescent="0.4"/>
  <cols>
    <col min="1" max="1" width="5.5" customWidth="1"/>
    <col min="2" max="2" width="13.69921875" style="15" customWidth="1"/>
    <col min="3" max="3" width="9.59765625" style="15" customWidth="1"/>
    <col min="4" max="5" width="8.796875" style="15"/>
    <col min="6" max="6" width="9.5" style="17" customWidth="1"/>
    <col min="7" max="7" width="9.59765625" style="15" customWidth="1"/>
    <col min="8" max="8" width="10.69921875" style="15" customWidth="1"/>
    <col min="9" max="9" width="9.3984375" style="15" customWidth="1"/>
    <col min="10" max="10" width="9.796875" style="15" customWidth="1"/>
  </cols>
  <sheetData>
    <row r="1" spans="2:10" x14ac:dyDescent="0.4">
      <c r="B1"/>
      <c r="C1"/>
      <c r="D1"/>
      <c r="E1"/>
      <c r="F1" s="16"/>
      <c r="G1"/>
      <c r="H1"/>
      <c r="I1"/>
      <c r="J1"/>
    </row>
    <row r="2" spans="2:10" x14ac:dyDescent="0.4">
      <c r="B2" s="9" t="s">
        <v>51</v>
      </c>
      <c r="C2" s="2" t="s">
        <v>52</v>
      </c>
      <c r="D2" s="2" t="s">
        <v>53</v>
      </c>
      <c r="E2" s="2" t="s">
        <v>54</v>
      </c>
      <c r="F2" s="2" t="s">
        <v>55</v>
      </c>
      <c r="G2" s="18" t="s">
        <v>56</v>
      </c>
      <c r="H2" s="2" t="s">
        <v>57</v>
      </c>
      <c r="I2" s="2" t="s">
        <v>58</v>
      </c>
      <c r="J2" s="2" t="s">
        <v>59</v>
      </c>
    </row>
    <row r="3" spans="2:10" x14ac:dyDescent="0.4">
      <c r="B3" s="21" t="s">
        <v>69</v>
      </c>
      <c r="C3" s="21">
        <v>1</v>
      </c>
      <c r="D3" s="21">
        <v>0</v>
      </c>
      <c r="E3" s="21">
        <v>0</v>
      </c>
      <c r="F3" s="21">
        <v>0</v>
      </c>
      <c r="G3" s="21">
        <v>1</v>
      </c>
      <c r="H3" s="21">
        <v>0</v>
      </c>
      <c r="I3" s="21">
        <v>1</v>
      </c>
      <c r="J3" s="21">
        <v>0</v>
      </c>
    </row>
    <row r="4" spans="2:10" x14ac:dyDescent="0.4">
      <c r="B4" s="21" t="s">
        <v>70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1</v>
      </c>
    </row>
    <row r="5" spans="2:10" x14ac:dyDescent="0.4">
      <c r="B5" s="21" t="s">
        <v>72</v>
      </c>
      <c r="C5" s="21">
        <v>0</v>
      </c>
      <c r="D5" s="21">
        <v>0</v>
      </c>
      <c r="E5" s="21">
        <v>0</v>
      </c>
      <c r="F5" s="21">
        <v>1</v>
      </c>
      <c r="G5" s="21">
        <v>1</v>
      </c>
      <c r="H5" s="21">
        <v>0</v>
      </c>
      <c r="I5" s="21">
        <v>1</v>
      </c>
      <c r="J5" s="21">
        <v>0</v>
      </c>
    </row>
    <row r="6" spans="2:10" x14ac:dyDescent="0.4">
      <c r="B6" s="23" t="s">
        <v>143</v>
      </c>
      <c r="C6" s="21">
        <f>SUM($C$3:$C$5)</f>
        <v>1</v>
      </c>
      <c r="D6" s="21">
        <f>SUM($D$3:$D$5)</f>
        <v>0</v>
      </c>
      <c r="E6" s="21">
        <f>SUM($E$3:$E$5)</f>
        <v>0</v>
      </c>
      <c r="F6" s="21">
        <f>SUM($F$3:$F$5)</f>
        <v>1</v>
      </c>
      <c r="G6" s="21">
        <f>SUM($G$3:$G$5)</f>
        <v>2</v>
      </c>
      <c r="H6" s="21">
        <f>SUM($H$3:$H$5)</f>
        <v>0</v>
      </c>
      <c r="I6" s="21">
        <f>SUM($I$3:$I$5)</f>
        <v>2</v>
      </c>
      <c r="J6" s="21">
        <f>SUM($J$3:$J$5)</f>
        <v>1</v>
      </c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6"/>
  <sheetViews>
    <sheetView workbookViewId="0"/>
  </sheetViews>
  <sheetFormatPr defaultRowHeight="17.399999999999999" x14ac:dyDescent="0.4"/>
  <cols>
    <col min="1" max="1" width="4.09765625" customWidth="1"/>
    <col min="2" max="2" width="12.59765625" style="15" customWidth="1"/>
    <col min="3" max="3" width="13.796875" style="15" customWidth="1"/>
    <col min="4" max="4" width="13.69921875" style="15" customWidth="1"/>
    <col min="5" max="5" width="14.09765625" style="15" customWidth="1"/>
    <col min="6" max="6" width="13" style="15" customWidth="1"/>
    <col min="7" max="7" width="12.09765625" style="15" customWidth="1"/>
    <col min="8" max="8" width="16.3984375" style="15" customWidth="1"/>
    <col min="9" max="10" width="12.796875" style="15" customWidth="1"/>
  </cols>
  <sheetData>
    <row r="1" spans="2:10" x14ac:dyDescent="0.4">
      <c r="B1"/>
      <c r="C1"/>
      <c r="D1"/>
      <c r="E1"/>
      <c r="F1"/>
      <c r="G1" s="19"/>
      <c r="H1" s="19"/>
      <c r="I1"/>
      <c r="J1"/>
    </row>
    <row r="2" spans="2:10" x14ac:dyDescent="0.4">
      <c r="B2" s="2" t="s">
        <v>51</v>
      </c>
      <c r="C2" s="2" t="s">
        <v>60</v>
      </c>
      <c r="D2" s="2" t="s">
        <v>61</v>
      </c>
      <c r="E2" s="2" t="s">
        <v>62</v>
      </c>
      <c r="F2" s="2" t="s">
        <v>63</v>
      </c>
      <c r="G2" s="2" t="s">
        <v>64</v>
      </c>
      <c r="H2" s="2" t="s">
        <v>65</v>
      </c>
      <c r="I2" s="2" t="s">
        <v>66</v>
      </c>
      <c r="J2" s="2" t="s">
        <v>67</v>
      </c>
    </row>
    <row r="3" spans="2:10" x14ac:dyDescent="0.4">
      <c r="B3" s="21" t="s">
        <v>68</v>
      </c>
      <c r="C3" s="21">
        <v>1</v>
      </c>
      <c r="D3" s="21">
        <v>1</v>
      </c>
      <c r="E3" s="21">
        <v>0</v>
      </c>
      <c r="F3" s="21">
        <v>1</v>
      </c>
      <c r="G3" s="24">
        <v>1</v>
      </c>
      <c r="H3" s="24">
        <v>1</v>
      </c>
      <c r="I3" s="21">
        <v>1</v>
      </c>
      <c r="J3" s="21">
        <v>0</v>
      </c>
    </row>
    <row r="4" spans="2:10" x14ac:dyDescent="0.4">
      <c r="B4" s="21" t="s">
        <v>69</v>
      </c>
      <c r="C4" s="21">
        <v>1</v>
      </c>
      <c r="D4" s="21">
        <v>1</v>
      </c>
      <c r="E4" s="21">
        <v>0</v>
      </c>
      <c r="F4" s="21">
        <v>1</v>
      </c>
      <c r="G4" s="24">
        <v>1</v>
      </c>
      <c r="H4" s="24">
        <v>0</v>
      </c>
      <c r="I4" s="21">
        <v>0</v>
      </c>
      <c r="J4" s="21">
        <v>1</v>
      </c>
    </row>
    <row r="5" spans="2:10" x14ac:dyDescent="0.4">
      <c r="B5" s="21" t="s">
        <v>70</v>
      </c>
      <c r="C5" s="21">
        <v>1</v>
      </c>
      <c r="D5" s="21">
        <v>1</v>
      </c>
      <c r="E5" s="21">
        <v>0</v>
      </c>
      <c r="F5" s="21">
        <v>1</v>
      </c>
      <c r="G5" s="24">
        <v>1</v>
      </c>
      <c r="H5" s="24">
        <v>0</v>
      </c>
      <c r="I5" s="21">
        <v>0</v>
      </c>
      <c r="J5" s="21">
        <v>1</v>
      </c>
    </row>
    <row r="6" spans="2:10" x14ac:dyDescent="0.4">
      <c r="B6" s="21" t="s">
        <v>71</v>
      </c>
      <c r="C6" s="21">
        <v>1</v>
      </c>
      <c r="D6" s="21">
        <v>1</v>
      </c>
      <c r="E6" s="21">
        <v>0</v>
      </c>
      <c r="F6" s="21">
        <v>0</v>
      </c>
      <c r="G6" s="24">
        <v>0</v>
      </c>
      <c r="H6" s="24">
        <v>0</v>
      </c>
      <c r="I6" s="21">
        <v>0</v>
      </c>
      <c r="J6" s="21">
        <v>0</v>
      </c>
    </row>
    <row r="7" spans="2:10" x14ac:dyDescent="0.4">
      <c r="B7" s="21" t="s">
        <v>72</v>
      </c>
      <c r="C7" s="21">
        <v>1</v>
      </c>
      <c r="D7" s="21">
        <v>1</v>
      </c>
      <c r="E7" s="21">
        <v>0</v>
      </c>
      <c r="F7" s="21">
        <v>1</v>
      </c>
      <c r="G7" s="24">
        <v>1</v>
      </c>
      <c r="H7" s="24">
        <v>0</v>
      </c>
      <c r="I7" s="21">
        <v>0</v>
      </c>
      <c r="J7" s="21">
        <v>1</v>
      </c>
    </row>
    <row r="8" spans="2:10" x14ac:dyDescent="0.4">
      <c r="B8" s="23" t="s">
        <v>143</v>
      </c>
      <c r="C8" s="21">
        <f>SUM($C$3:$C$7)</f>
        <v>5</v>
      </c>
      <c r="D8" s="21">
        <f>SUM($D$3:$D$7)</f>
        <v>5</v>
      </c>
      <c r="E8" s="21">
        <f>SUM($E$3:$E$7)</f>
        <v>0</v>
      </c>
      <c r="F8" s="21">
        <f>SUM($F$3:$F$7)</f>
        <v>4</v>
      </c>
      <c r="G8" s="24">
        <f>AVERAGE($G$3:$G$7)</f>
        <v>0.8</v>
      </c>
      <c r="H8" s="24">
        <f>AVERAGE($H$3:$H$7)</f>
        <v>0.2</v>
      </c>
      <c r="I8" s="21">
        <f>SUM($I$3:$I$7)</f>
        <v>1</v>
      </c>
      <c r="J8" s="21">
        <f>SUM($J$3:$J$7)</f>
        <v>3</v>
      </c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  <row r="32" customFormat="1" x14ac:dyDescent="0.4"/>
    <row r="33" customFormat="1" x14ac:dyDescent="0.4"/>
    <row r="34" customFormat="1" x14ac:dyDescent="0.4"/>
    <row r="35" customFormat="1" x14ac:dyDescent="0.4"/>
    <row r="36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E43D-9961-408A-ADE2-1672F5B573C0}">
  <sheetPr codeName="Sheet5"/>
  <dimension ref="A1:B38"/>
  <sheetViews>
    <sheetView workbookViewId="0">
      <selection sqref="A1:A3"/>
    </sheetView>
  </sheetViews>
  <sheetFormatPr defaultRowHeight="17.399999999999999" x14ac:dyDescent="0.4"/>
  <cols>
    <col min="1" max="1" width="10.69921875" customWidth="1"/>
    <col min="2" max="2" width="80.59765625" customWidth="1"/>
  </cols>
  <sheetData>
    <row r="1" spans="1:2" ht="15" customHeight="1" x14ac:dyDescent="0.4">
      <c r="A1" s="26" t="s">
        <v>28</v>
      </c>
      <c r="B1" s="8" t="s">
        <v>29</v>
      </c>
    </row>
    <row r="2" spans="1:2" ht="15" customHeight="1" x14ac:dyDescent="0.4">
      <c r="A2" s="27"/>
      <c r="B2" s="8" t="s">
        <v>30</v>
      </c>
    </row>
    <row r="3" spans="1:2" ht="15" customHeight="1" x14ac:dyDescent="0.4">
      <c r="A3" s="28"/>
      <c r="B3" s="8" t="s">
        <v>31</v>
      </c>
    </row>
    <row r="4" spans="1:2" ht="15" customHeight="1" x14ac:dyDescent="0.4">
      <c r="A4" s="26" t="s">
        <v>32</v>
      </c>
      <c r="B4" s="8" t="s">
        <v>33</v>
      </c>
    </row>
    <row r="5" spans="1:2" ht="15" customHeight="1" x14ac:dyDescent="0.4">
      <c r="A5" s="27"/>
      <c r="B5" s="8" t="s">
        <v>34</v>
      </c>
    </row>
    <row r="6" spans="1:2" ht="15" customHeight="1" x14ac:dyDescent="0.4">
      <c r="A6" s="27"/>
      <c r="B6" s="7" t="s">
        <v>35</v>
      </c>
    </row>
    <row r="7" spans="1:2" ht="15" customHeight="1" x14ac:dyDescent="0.4">
      <c r="A7" s="27"/>
      <c r="B7" s="7" t="s">
        <v>36</v>
      </c>
    </row>
    <row r="8" spans="1:2" ht="15" customHeight="1" x14ac:dyDescent="0.4">
      <c r="A8" s="27"/>
      <c r="B8" s="8" t="s">
        <v>37</v>
      </c>
    </row>
    <row r="9" spans="1:2" ht="15" customHeight="1" x14ac:dyDescent="0.4">
      <c r="A9" s="28"/>
      <c r="B9" s="8" t="s">
        <v>38</v>
      </c>
    </row>
    <row r="10" spans="1:2" ht="15" customHeight="1" x14ac:dyDescent="0.4">
      <c r="A10" s="26" t="s">
        <v>39</v>
      </c>
      <c r="B10" s="8" t="s">
        <v>40</v>
      </c>
    </row>
    <row r="11" spans="1:2" ht="15" customHeight="1" x14ac:dyDescent="0.4">
      <c r="A11" s="27"/>
      <c r="B11" s="7" t="s">
        <v>41</v>
      </c>
    </row>
    <row r="12" spans="1:2" ht="15" customHeight="1" x14ac:dyDescent="0.4">
      <c r="A12" s="27"/>
      <c r="B12" s="8" t="s">
        <v>47</v>
      </c>
    </row>
    <row r="13" spans="1:2" ht="15" customHeight="1" x14ac:dyDescent="0.4">
      <c r="A13" s="27"/>
      <c r="B13" s="7" t="s">
        <v>42</v>
      </c>
    </row>
    <row r="14" spans="1:2" ht="15" customHeight="1" x14ac:dyDescent="0.4">
      <c r="A14" s="28"/>
      <c r="B14" s="7" t="s">
        <v>43</v>
      </c>
    </row>
    <row r="15" spans="1:2" ht="15" customHeight="1" x14ac:dyDescent="0.4">
      <c r="A15" s="26" t="s">
        <v>44</v>
      </c>
      <c r="B15" s="7" t="s">
        <v>45</v>
      </c>
    </row>
    <row r="16" spans="1:2" ht="15" customHeight="1" x14ac:dyDescent="0.4">
      <c r="A16" s="27"/>
      <c r="B16" s="8" t="s">
        <v>48</v>
      </c>
    </row>
    <row r="17" spans="1:2" ht="15" customHeight="1" x14ac:dyDescent="0.4">
      <c r="A17" s="28"/>
      <c r="B17" s="7" t="s">
        <v>46</v>
      </c>
    </row>
    <row r="18" spans="1:2" ht="15" customHeight="1" x14ac:dyDescent="0.4"/>
    <row r="19" spans="1:2" ht="15" customHeight="1" x14ac:dyDescent="0.4"/>
    <row r="20" spans="1:2" ht="15" customHeight="1" x14ac:dyDescent="0.4"/>
    <row r="21" spans="1:2" ht="15" customHeight="1" x14ac:dyDescent="0.4"/>
    <row r="22" spans="1:2" ht="15" customHeight="1" x14ac:dyDescent="0.4"/>
    <row r="23" spans="1:2" ht="15" customHeight="1" x14ac:dyDescent="0.4"/>
    <row r="24" spans="1:2" ht="15" customHeight="1" x14ac:dyDescent="0.4"/>
    <row r="25" spans="1:2" ht="15" customHeight="1" x14ac:dyDescent="0.4"/>
    <row r="26" spans="1:2" ht="15" customHeight="1" x14ac:dyDescent="0.4"/>
    <row r="27" spans="1:2" ht="15" customHeight="1" x14ac:dyDescent="0.4"/>
    <row r="28" spans="1:2" ht="15" customHeight="1" x14ac:dyDescent="0.4"/>
    <row r="29" spans="1:2" ht="15" customHeight="1" x14ac:dyDescent="0.4"/>
    <row r="30" spans="1:2" ht="15" customHeight="1" x14ac:dyDescent="0.4"/>
    <row r="31" spans="1:2" ht="15" customHeight="1" x14ac:dyDescent="0.4"/>
    <row r="32" spans="1:2" ht="15" customHeight="1" x14ac:dyDescent="0.4"/>
    <row r="33" ht="15" customHeight="1" x14ac:dyDescent="0.4"/>
    <row r="34" ht="15" customHeight="1" x14ac:dyDescent="0.4"/>
    <row r="35" ht="15" customHeight="1" x14ac:dyDescent="0.4"/>
    <row r="36" ht="15" customHeight="1" x14ac:dyDescent="0.4"/>
    <row r="37" ht="15" customHeight="1" x14ac:dyDescent="0.4"/>
    <row r="38" ht="15" customHeight="1" x14ac:dyDescent="0.4"/>
  </sheetData>
  <mergeCells count="4">
    <mergeCell ref="A1:A3"/>
    <mergeCell ref="A4:A9"/>
    <mergeCell ref="A10:A14"/>
    <mergeCell ref="A15:A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통합테스트시나리오검증</vt:lpstr>
      <vt:lpstr>결함내역</vt:lpstr>
      <vt:lpstr>결함집계</vt:lpstr>
      <vt:lpstr>전체집계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2025-02-12T06:26:31Z</dcterms:modified>
</cp:coreProperties>
</file>